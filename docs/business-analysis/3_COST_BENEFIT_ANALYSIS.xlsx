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-Benefi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00000"/>
    <numFmt numFmtId="166" formatCode="0.0%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0000FF"/>
    </font>
    <font>
      <color rgb="00000000"/>
    </font>
    <font>
      <b val="1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3" borderId="0" pivotButton="0" quotePrefix="0" xfId="0"/>
    <xf numFmtId="0" fontId="0" fillId="4" borderId="0" pivotButton="0" quotePrefix="0" xfId="0"/>
    <xf numFmtId="166" fontId="3" fillId="4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164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COST INPUTS (Verified from Google Cloud Pricing)</t>
        </is>
      </c>
    </row>
    <row r="3">
      <c r="A3" s="2" t="inlineStr">
        <is>
          <t>Cost Component</t>
        </is>
      </c>
      <c r="B3" s="2" t="inlineStr">
        <is>
          <t>Per Unit</t>
        </is>
      </c>
      <c r="C3" s="2" t="inlineStr">
        <is>
          <t>Rate</t>
        </is>
      </c>
      <c r="D3" s="2" t="inlineStr">
        <is>
          <t>Notes</t>
        </is>
      </c>
    </row>
    <row r="4">
      <c r="A4" t="inlineStr">
        <is>
          <t>STT (Speech-to-Text)</t>
        </is>
      </c>
      <c r="B4" t="inlineStr">
        <is>
          <t>per 15 seconds</t>
        </is>
      </c>
      <c r="C4" s="3" t="n">
        <v>0.0008</v>
      </c>
      <c r="D4" t="inlineStr">
        <is>
          <t>Google Cloud Speech-to-Text</t>
        </is>
      </c>
    </row>
    <row r="5">
      <c r="A5" t="inlineStr">
        <is>
          <t>LLM (Gemini 1.5 Flash)</t>
        </is>
      </c>
      <c r="B5" t="inlineStr">
        <is>
          <t>per request</t>
        </is>
      </c>
      <c r="C5" s="3" t="n">
        <v>0.0001</v>
      </c>
      <c r="D5" t="inlineStr">
        <is>
          <t>~50 tokens input + 200 tokens output</t>
        </is>
      </c>
    </row>
    <row r="6">
      <c r="A6" t="inlineStr">
        <is>
          <t>TTS (Text-to-Speech)</t>
        </is>
      </c>
      <c r="B6" t="inlineStr">
        <is>
          <t>per character</t>
        </is>
      </c>
      <c r="C6" s="4" t="n">
        <v>2e-05</v>
      </c>
      <c r="D6" t="inlineStr">
        <is>
          <t>Google Cloud TTS</t>
        </is>
      </c>
    </row>
    <row r="9">
      <c r="A9" s="1" t="inlineStr">
        <is>
          <t>TYPICAL CALL COMPOSITION</t>
        </is>
      </c>
    </row>
    <row r="11">
      <c r="A11" s="2" t="inlineStr">
        <is>
          <t>Metric</t>
        </is>
      </c>
      <c r="B11" s="2" t="inlineStr">
        <is>
          <t>Value</t>
        </is>
      </c>
      <c r="C11" s="2" t="inlineStr">
        <is>
          <t>Assumption</t>
        </is>
      </c>
    </row>
    <row r="12">
      <c r="A12" t="inlineStr">
        <is>
          <t>Avg calls per minute</t>
        </is>
      </c>
      <c r="B12" s="5" t="n">
        <v>2</v>
      </c>
      <c r="C12" t="inlineStr">
        <is>
          <t>2 exchanges per minute</t>
        </is>
      </c>
    </row>
    <row r="13">
      <c r="A13" t="inlineStr">
        <is>
          <t>STT chunks per call</t>
        </is>
      </c>
      <c r="B13" s="5" t="n">
        <v>3</v>
      </c>
      <c r="C13" t="inlineStr">
        <is>
          <t>3 x 15-sec chunks = 45 sec user speech</t>
        </is>
      </c>
    </row>
    <row r="14">
      <c r="A14" t="inlineStr">
        <is>
          <t>LLM requests per call</t>
        </is>
      </c>
      <c r="B14" s="5" t="n">
        <v>1</v>
      </c>
      <c r="C14" t="inlineStr">
        <is>
          <t>1 request = 1 agent response</t>
        </is>
      </c>
    </row>
    <row r="15">
      <c r="A15" t="inlineStr">
        <is>
          <t>Avg response chars</t>
        </is>
      </c>
      <c r="B15" s="5" t="n">
        <v>200</v>
      </c>
      <c r="C15" t="inlineStr">
        <is>
          <t>250 chars per response</t>
        </is>
      </c>
    </row>
    <row r="18">
      <c r="A18" s="1" t="inlineStr">
        <is>
          <t>COST PER MINUTE (No Cache)</t>
        </is>
      </c>
    </row>
    <row r="20">
      <c r="A20" s="2" t="inlineStr">
        <is>
          <t>Cost Item</t>
        </is>
      </c>
      <c r="B20" s="2" t="inlineStr">
        <is>
          <t>Calculation</t>
        </is>
      </c>
      <c r="C20" s="2" t="inlineStr">
        <is>
          <t>Cost/Min</t>
        </is>
      </c>
    </row>
    <row r="21">
      <c r="A21" t="inlineStr">
        <is>
          <t>STT Cost</t>
        </is>
      </c>
      <c r="B21" s="6">
        <f>B12*B13*C4</f>
        <v/>
      </c>
      <c r="C21" s="7">
        <f>B21</f>
        <v/>
      </c>
    </row>
    <row r="22">
      <c r="A22" t="inlineStr">
        <is>
          <t>LLM Cost</t>
        </is>
      </c>
      <c r="B22" s="6">
        <f>B12*B14*C5</f>
        <v/>
      </c>
      <c r="C22" s="7">
        <f>B22</f>
        <v/>
      </c>
    </row>
    <row r="23">
      <c r="A23" t="inlineStr">
        <is>
          <t>TTS Cost</t>
        </is>
      </c>
      <c r="B23" s="6">
        <f>B12*B15*C6</f>
        <v/>
      </c>
      <c r="C23" s="7">
        <f>B23</f>
        <v/>
      </c>
    </row>
    <row r="24">
      <c r="A24" s="8" t="inlineStr">
        <is>
          <t>TOTAL COST/MIN</t>
        </is>
      </c>
      <c r="B24" s="8">
        <f>SUM(B21:B23)</f>
        <v/>
      </c>
      <c r="C24" s="9">
        <f>SUM(C21:C23)</f>
        <v/>
      </c>
    </row>
    <row r="27">
      <c r="A27" s="1" t="inlineStr">
        <is>
          <t>CACHE HIT SCENARIOS</t>
        </is>
      </c>
    </row>
    <row r="29">
      <c r="A29" s="10" t="inlineStr">
        <is>
          <t>Cache Hit %</t>
        </is>
      </c>
      <c r="B29" s="11" t="inlineStr">
        <is>
          <t>40%</t>
        </is>
      </c>
      <c r="C29" s="11" t="inlineStr">
        <is>
          <t>60%</t>
        </is>
      </c>
      <c r="D29" s="11" t="inlineStr">
        <is>
          <t>90%</t>
        </is>
      </c>
    </row>
    <row r="30">
      <c r="A30" t="inlineStr">
        <is>
          <t>Cost/Min with Cache</t>
        </is>
      </c>
      <c r="B30" s="7">
        <f>C24*(1-0.4)</f>
        <v/>
      </c>
      <c r="C30" s="7">
        <f>C24*(1-0.6)</f>
        <v/>
      </c>
      <c r="D30" s="7">
        <f>C24*(1-0.9)</f>
        <v/>
      </c>
    </row>
    <row r="31">
      <c r="A31" t="inlineStr">
        <is>
          <t>Cost/Hour with Cache</t>
        </is>
      </c>
      <c r="B31" s="12">
        <f>B30*60</f>
        <v/>
      </c>
      <c r="C31" s="12">
        <f>C30*60</f>
        <v/>
      </c>
      <c r="D31" s="12">
        <f>D30*60</f>
        <v/>
      </c>
    </row>
    <row r="34">
      <c r="A34" s="1" t="inlineStr">
        <is>
          <t>TIER ANALYSIS (60% Cache Hit Scenario - RECOMMENDED)</t>
        </is>
      </c>
    </row>
    <row r="36">
      <c r="A36" s="2" t="inlineStr">
        <is>
          <t>Metric</t>
        </is>
      </c>
      <c r="B36" s="2" t="inlineStr">
        <is>
          <t>Starter</t>
        </is>
      </c>
      <c r="C36" s="2" t="inlineStr">
        <is>
          <t>Pro</t>
        </is>
      </c>
      <c r="D36" s="2" t="inlineStr">
        <is>
          <t>Enterprise</t>
        </is>
      </c>
    </row>
    <row r="37">
      <c r="A37" t="inlineStr">
        <is>
          <t>Monthly Subscription ($)</t>
        </is>
      </c>
      <c r="B37" s="3" t="n">
        <v>50</v>
      </c>
      <c r="C37" s="3" t="n">
        <v>300</v>
      </c>
      <c r="D37" s="3" t="n">
        <v>8000</v>
      </c>
    </row>
    <row r="38">
      <c r="A38" t="inlineStr">
        <is>
          <t>Minutes/Month</t>
        </is>
      </c>
      <c r="B38" s="5" t="n">
        <v>1000</v>
      </c>
      <c r="C38" s="5" t="n">
        <v>5000</v>
      </c>
      <c r="D38" s="5" t="n">
        <v>7500</v>
      </c>
    </row>
    <row r="39">
      <c r="A39" t="inlineStr">
        <is>
          <t>Cost/Min (60% cache)</t>
        </is>
      </c>
      <c r="B39" s="7">
        <f>C30</f>
        <v/>
      </c>
      <c r="C39" s="7">
        <f>C30</f>
        <v/>
      </c>
      <c r="D39" s="7">
        <f>C30</f>
        <v/>
      </c>
    </row>
    <row r="40">
      <c r="A40" t="inlineStr">
        <is>
          <t>Total Monthly Cost ($)</t>
        </is>
      </c>
      <c r="B40" s="7">
        <f>B38*B39</f>
        <v/>
      </c>
      <c r="C40" s="7">
        <f>C38*C39</f>
        <v/>
      </c>
      <c r="D40" s="7">
        <f>D38*D39</f>
        <v/>
      </c>
    </row>
    <row r="41">
      <c r="A41" t="inlineStr">
        <is>
          <t>Gross Profit ($)</t>
        </is>
      </c>
      <c r="B41" s="13">
        <f>B37-B40</f>
        <v/>
      </c>
      <c r="C41" s="13">
        <f>C37-C40</f>
        <v/>
      </c>
      <c r="D41" s="13">
        <f>D37-D40</f>
        <v/>
      </c>
    </row>
    <row r="42">
      <c r="A42" t="inlineStr">
        <is>
          <t>Gross Margin %</t>
        </is>
      </c>
      <c r="B42" s="14">
        <f>B41/B37</f>
        <v/>
      </c>
      <c r="C42" s="14">
        <f>C41/C37</f>
        <v/>
      </c>
      <c r="D42" s="14">
        <f>D41/D37</f>
        <v/>
      </c>
    </row>
    <row r="45">
      <c r="A45" s="1" t="inlineStr">
        <is>
          <t>ANNUAL PROJECTIONS (Year 1)</t>
        </is>
      </c>
    </row>
    <row r="47">
      <c r="A47" s="2" t="inlineStr">
        <is>
          <t>Metric</t>
        </is>
      </c>
      <c r="B47" s="2" t="inlineStr">
        <is>
          <t>Starter</t>
        </is>
      </c>
      <c r="C47" s="2" t="inlineStr">
        <is>
          <t>Pro</t>
        </is>
      </c>
      <c r="D47" s="2" t="inlineStr">
        <is>
          <t>Enterprise</t>
        </is>
      </c>
      <c r="E47" s="2" t="inlineStr">
        <is>
          <t>TOTAL</t>
        </is>
      </c>
    </row>
    <row r="48">
      <c r="A48" t="inlineStr">
        <is>
          <t>Subscribers (end of year)</t>
        </is>
      </c>
      <c r="B48" s="5" t="n">
        <v>50</v>
      </c>
      <c r="C48" s="5" t="n">
        <v>15</v>
      </c>
      <c r="D48" s="5" t="n">
        <v>2</v>
      </c>
      <c r="E48" s="8">
        <f>SUM(B48:D48)</f>
        <v/>
      </c>
    </row>
    <row r="49">
      <c r="A49" t="inlineStr">
        <is>
          <t>Annual Subscription Revenue</t>
        </is>
      </c>
      <c r="B49" s="7">
        <f>B48*B37*12</f>
        <v/>
      </c>
      <c r="C49" s="7">
        <f>C48*C37*12</f>
        <v/>
      </c>
      <c r="D49" s="7">
        <f>D48*D37*12</f>
        <v/>
      </c>
      <c r="E49" s="13">
        <f>SUM(B49:D49)</f>
        <v/>
      </c>
    </row>
    <row r="50">
      <c r="A50" t="inlineStr">
        <is>
          <t>Annual Cost to Google</t>
        </is>
      </c>
      <c r="B50" s="7">
        <f>B48*B38*12*B39</f>
        <v/>
      </c>
      <c r="C50" s="7">
        <f>C48*C38*12*C39</f>
        <v/>
      </c>
      <c r="D50" s="7">
        <f>D48*D38*12*D39</f>
        <v/>
      </c>
      <c r="E50" s="13">
        <f>SUM(B50:D50)</f>
        <v/>
      </c>
    </row>
    <row r="51">
      <c r="A51" t="inlineStr">
        <is>
          <t>Annual Gross Profit</t>
        </is>
      </c>
      <c r="B51" s="13">
        <f>B49-B50</f>
        <v/>
      </c>
      <c r="C51" s="13">
        <f>C49-C50</f>
        <v/>
      </c>
      <c r="D51" s="13">
        <f>D49-D50</f>
        <v/>
      </c>
      <c r="E51" s="15">
        <f>SUM(B51:D51)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2026-03-18T18:16:57Z</dcterms:created>
  <dcterms:modified xsi:type="dcterms:W3CDTF">2026-03-18T18:16:57Z</dcterms:modified>
</cp:coreProperties>
</file>